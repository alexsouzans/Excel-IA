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2983e77002a783/Documentos/ACADÊMICO/EXCEL COM IA/"/>
    </mc:Choice>
  </mc:AlternateContent>
  <xr:revisionPtr revIDLastSave="99" documentId="8_{24D4178B-7E73-4517-8DC6-FE6EDE00852C}" xr6:coauthVersionLast="47" xr6:coauthVersionMax="47" xr10:uidLastSave="{CB47035E-10BE-4384-8CC6-3EC561BD786C}"/>
  <bookViews>
    <workbookView xWindow="-120" yWindow="-120" windowWidth="20730" windowHeight="11160" activeTab="1" xr2:uid="{A89BC13A-D457-45A5-9C81-24E7296F7383}"/>
  </bookViews>
  <sheets>
    <sheet name="INPUT" sheetId="1" r:id="rId1"/>
    <sheet name="SIMULAÇÃ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D9" i="2"/>
  <c r="E9" i="2"/>
  <c r="C10" i="2"/>
  <c r="D10" i="2"/>
  <c r="E10" i="2"/>
  <c r="C11" i="2"/>
  <c r="D11" i="2"/>
  <c r="E11" i="2"/>
  <c r="C12" i="2"/>
  <c r="D12" i="2"/>
  <c r="E12" i="2"/>
  <c r="C13" i="2"/>
  <c r="D13" i="2"/>
  <c r="E13" i="2" s="1"/>
  <c r="C14" i="2" s="1"/>
  <c r="C8" i="2"/>
  <c r="D8" i="2"/>
  <c r="E8" i="2"/>
  <c r="C7" i="2"/>
  <c r="C6" i="2"/>
  <c r="C5" i="2"/>
  <c r="D5" i="2"/>
  <c r="E5" i="2" s="1"/>
  <c r="E4" i="2"/>
  <c r="D4" i="2"/>
  <c r="C4" i="2"/>
  <c r="E3" i="2"/>
  <c r="D3" i="2"/>
  <c r="D2" i="2"/>
  <c r="C3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2" i="2"/>
  <c r="D14" i="2" l="1"/>
  <c r="E14" i="2"/>
  <c r="C15" i="2" s="1"/>
  <c r="D7" i="2"/>
  <c r="E7" i="2" s="1"/>
  <c r="D6" i="2"/>
  <c r="E6" i="2" s="1"/>
  <c r="E2" i="2"/>
  <c r="D15" i="2" l="1"/>
  <c r="E15" i="2"/>
  <c r="C16" i="2" s="1"/>
  <c r="E16" i="2" l="1"/>
  <c r="C17" i="2" s="1"/>
  <c r="D16" i="2"/>
  <c r="D17" i="2" l="1"/>
  <c r="E17" i="2"/>
  <c r="C18" i="2" s="1"/>
  <c r="D18" i="2" l="1"/>
  <c r="E18" i="2"/>
  <c r="C19" i="2" s="1"/>
  <c r="D19" i="2" l="1"/>
  <c r="E19" i="2"/>
  <c r="C20" i="2" s="1"/>
  <c r="D20" i="2" l="1"/>
  <c r="E20" i="2"/>
  <c r="C21" i="2" s="1"/>
  <c r="D21" i="2" l="1"/>
  <c r="E21" i="2"/>
  <c r="C22" i="2" s="1"/>
  <c r="D22" i="2" l="1"/>
  <c r="E22" i="2"/>
  <c r="C23" i="2" s="1"/>
  <c r="D23" i="2" l="1"/>
  <c r="E23" i="2"/>
  <c r="C24" i="2" s="1"/>
  <c r="D24" i="2" l="1"/>
  <c r="E24" i="2" s="1"/>
  <c r="C25" i="2" s="1"/>
  <c r="D25" i="2" l="1"/>
  <c r="E25" i="2" s="1"/>
  <c r="C26" i="2" s="1"/>
  <c r="D26" i="2" l="1"/>
  <c r="E26" i="2" s="1"/>
  <c r="C27" i="2" s="1"/>
  <c r="D27" i="2" l="1"/>
  <c r="E27" i="2" s="1"/>
  <c r="C28" i="2" s="1"/>
  <c r="D28" i="2" l="1"/>
  <c r="E28" i="2" s="1"/>
  <c r="C29" i="2" s="1"/>
  <c r="D29" i="2" l="1"/>
  <c r="E29" i="2" s="1"/>
  <c r="C30" i="2" s="1"/>
  <c r="D30" i="2" l="1"/>
  <c r="E30" i="2" s="1"/>
  <c r="C31" i="2" s="1"/>
  <c r="D31" i="2" l="1"/>
  <c r="E31" i="2" s="1"/>
  <c r="C32" i="2" s="1"/>
  <c r="D32" i="2" l="1"/>
  <c r="E32" i="2" s="1"/>
  <c r="C33" i="2" s="1"/>
  <c r="D33" i="2" l="1"/>
  <c r="E33" i="2" s="1"/>
  <c r="C34" i="2" s="1"/>
  <c r="D34" i="2" l="1"/>
  <c r="E34" i="2" s="1"/>
  <c r="C35" i="2" s="1"/>
  <c r="D35" i="2" l="1"/>
  <c r="E35" i="2" s="1"/>
  <c r="C36" i="2" s="1"/>
  <c r="E36" i="2" l="1"/>
  <c r="C37" i="2" s="1"/>
  <c r="D36" i="2"/>
  <c r="E37" i="2" l="1"/>
  <c r="C38" i="2" s="1"/>
  <c r="D37" i="2"/>
  <c r="E38" i="2" l="1"/>
  <c r="C39" i="2" s="1"/>
  <c r="D38" i="2"/>
  <c r="E39" i="2" l="1"/>
  <c r="C40" i="2" s="1"/>
  <c r="D39" i="2"/>
  <c r="D40" i="2" l="1"/>
  <c r="E40" i="2" s="1"/>
  <c r="C41" i="2" s="1"/>
  <c r="D41" i="2" l="1"/>
  <c r="E41" i="2" s="1"/>
  <c r="C42" i="2" s="1"/>
  <c r="D42" i="2" l="1"/>
  <c r="E42" i="2" s="1"/>
  <c r="C43" i="2" s="1"/>
  <c r="D43" i="2" l="1"/>
  <c r="E43" i="2" s="1"/>
  <c r="C44" i="2" s="1"/>
  <c r="D44" i="2" l="1"/>
  <c r="E44" i="2"/>
  <c r="C45" i="2" s="1"/>
  <c r="D45" i="2" l="1"/>
  <c r="E45" i="2"/>
  <c r="C46" i="2" s="1"/>
  <c r="D46" i="2" l="1"/>
  <c r="E46" i="2"/>
  <c r="C47" i="2" s="1"/>
  <c r="D47" i="2" l="1"/>
  <c r="E47" i="2"/>
  <c r="C48" i="2" s="1"/>
  <c r="D48" i="2" l="1"/>
  <c r="E48" i="2" s="1"/>
  <c r="C49" i="2" s="1"/>
  <c r="D49" i="2" l="1"/>
  <c r="E49" i="2" s="1"/>
  <c r="C50" i="2" s="1"/>
  <c r="E50" i="2" l="1"/>
  <c r="C51" i="2" s="1"/>
  <c r="D50" i="2"/>
  <c r="D51" i="2" l="1"/>
  <c r="E51" i="2" s="1"/>
  <c r="C52" i="2" s="1"/>
  <c r="D52" i="2" l="1"/>
  <c r="E52" i="2" s="1"/>
  <c r="C53" i="2" s="1"/>
  <c r="E53" i="2" l="1"/>
  <c r="C54" i="2" s="1"/>
  <c r="D53" i="2"/>
  <c r="D54" i="2" l="1"/>
  <c r="E54" i="2" s="1"/>
  <c r="C55" i="2" s="1"/>
  <c r="E55" i="2" l="1"/>
  <c r="C56" i="2" s="1"/>
  <c r="D55" i="2"/>
  <c r="D56" i="2" l="1"/>
  <c r="E56" i="2" s="1"/>
  <c r="C57" i="2" s="1"/>
  <c r="D57" i="2" l="1"/>
  <c r="E57" i="2" s="1"/>
  <c r="C58" i="2" s="1"/>
  <c r="D58" i="2" l="1"/>
  <c r="E58" i="2" s="1"/>
  <c r="C59" i="2" s="1"/>
  <c r="E59" i="2" l="1"/>
  <c r="C60" i="2" s="1"/>
  <c r="D59" i="2"/>
  <c r="D60" i="2" l="1"/>
  <c r="E60" i="2" s="1"/>
  <c r="C61" i="2" s="1"/>
  <c r="D61" i="2" l="1"/>
  <c r="E61" i="2" s="1"/>
</calcChain>
</file>

<file path=xl/sharedStrings.xml><?xml version="1.0" encoding="utf-8"?>
<sst xmlns="http://schemas.openxmlformats.org/spreadsheetml/2006/main" count="12" uniqueCount="12">
  <si>
    <t>Parâmetro</t>
  </si>
  <si>
    <t>Valor</t>
  </si>
  <si>
    <t>Valor inicial investido</t>
  </si>
  <si>
    <t>Aporte mensal</t>
  </si>
  <si>
    <t xml:space="preserve">Rendimento mensal (%) </t>
  </si>
  <si>
    <t xml:space="preserve">Dividend Yield mensal (%) </t>
  </si>
  <si>
    <t xml:space="preserve">Período (meses)   </t>
  </si>
  <si>
    <t>Mês</t>
  </si>
  <si>
    <t xml:space="preserve">Aporte </t>
  </si>
  <si>
    <t>Saldo Anterior</t>
  </si>
  <si>
    <t>Rendimento</t>
  </si>
  <si>
    <t>Saldo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</si>
</sst>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4E4E1-A743-4399-A258-E1C07F615F9B}">
  <dimension ref="A1:B6"/>
  <sheetViews>
    <sheetView workbookViewId="0">
      <selection activeCell="G6" sqref="G6"/>
    </sheetView>
  </sheetViews>
  <sheetFormatPr defaultRowHeight="15" x14ac:dyDescent="0.25"/>
  <cols>
    <col min="1" max="1" width="22.85546875" bestFit="1" customWidth="1"/>
    <col min="2" max="2" width="12.14062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2</v>
      </c>
      <c r="B2" s="2">
        <v>2000</v>
      </c>
    </row>
    <row r="3" spans="1:2" x14ac:dyDescent="0.25">
      <c r="A3" s="1" t="s">
        <v>3</v>
      </c>
      <c r="B3" s="2">
        <v>500</v>
      </c>
    </row>
    <row r="4" spans="1:2" x14ac:dyDescent="0.25">
      <c r="A4" s="1" t="s">
        <v>4</v>
      </c>
      <c r="B4" s="1">
        <v>8.0000000000000002E-3</v>
      </c>
    </row>
    <row r="5" spans="1:2" x14ac:dyDescent="0.25">
      <c r="A5" s="1" t="s">
        <v>5</v>
      </c>
      <c r="B5" s="1">
        <v>7.0000000000000001E-3</v>
      </c>
    </row>
    <row r="6" spans="1:2" x14ac:dyDescent="0.25">
      <c r="A6" s="1" t="s">
        <v>6</v>
      </c>
      <c r="B6" s="1">
        <v>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71AE-718C-4908-BD94-06020F85BB04}">
  <dimension ref="A1:E61"/>
  <sheetViews>
    <sheetView tabSelected="1" workbookViewId="0">
      <selection activeCell="D5" sqref="D5"/>
    </sheetView>
  </sheetViews>
  <sheetFormatPr defaultRowHeight="15" x14ac:dyDescent="0.25"/>
  <cols>
    <col min="2" max="2" width="10.5703125" bestFit="1" customWidth="1"/>
    <col min="3" max="3" width="13.7109375" bestFit="1" customWidth="1"/>
    <col min="4" max="4" width="14.28515625" bestFit="1" customWidth="1"/>
    <col min="5" max="5" width="13.28515625" bestFit="1" customWidth="1"/>
  </cols>
  <sheetData>
    <row r="1" spans="1:5" x14ac:dyDescent="0.25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</row>
    <row r="2" spans="1:5" x14ac:dyDescent="0.25">
      <c r="A2" s="4">
        <f>ROW()-1</f>
        <v>1</v>
      </c>
      <c r="B2" s="5">
        <v>0</v>
      </c>
      <c r="C2" s="5">
        <v>2000</v>
      </c>
      <c r="D2" s="5">
        <f>C2 * INPUT!B$4</f>
        <v>16</v>
      </c>
      <c r="E2" s="5">
        <f>C2 + B2 + D2</f>
        <v>2016</v>
      </c>
    </row>
    <row r="3" spans="1:5" x14ac:dyDescent="0.25">
      <c r="A3" s="4">
        <f t="shared" ref="A3:A61" si="0">ROW()-1</f>
        <v>2</v>
      </c>
      <c r="B3" s="5">
        <v>500</v>
      </c>
      <c r="C3" s="5">
        <f>C2+B3</f>
        <v>2500</v>
      </c>
      <c r="D3" s="5">
        <f>C3 * INPUT!B$4</f>
        <v>20</v>
      </c>
      <c r="E3" s="5">
        <f>C3+D3</f>
        <v>2520</v>
      </c>
    </row>
    <row r="4" spans="1:5" x14ac:dyDescent="0.25">
      <c r="A4" s="4">
        <f t="shared" si="0"/>
        <v>3</v>
      </c>
      <c r="B4" s="5">
        <v>500</v>
      </c>
      <c r="C4" s="5">
        <f>B4+E3</f>
        <v>3020</v>
      </c>
      <c r="D4" s="5">
        <f>C4 * INPUT!B$4</f>
        <v>24.16</v>
      </c>
      <c r="E4" s="5">
        <f>C4+D4</f>
        <v>3044.16</v>
      </c>
    </row>
    <row r="5" spans="1:5" x14ac:dyDescent="0.25">
      <c r="A5" s="4">
        <f t="shared" si="0"/>
        <v>4</v>
      </c>
      <c r="B5" s="5">
        <v>500</v>
      </c>
      <c r="C5" s="5">
        <f>B5+E4</f>
        <v>3544.16</v>
      </c>
      <c r="D5" s="5">
        <f>C5 * INPUT!B$4</f>
        <v>28.353279999999998</v>
      </c>
      <c r="E5" s="5">
        <f>C5+D5</f>
        <v>3572.5132799999997</v>
      </c>
    </row>
    <row r="6" spans="1:5" x14ac:dyDescent="0.25">
      <c r="A6" s="4">
        <f t="shared" si="0"/>
        <v>5</v>
      </c>
      <c r="B6" s="5">
        <v>500</v>
      </c>
      <c r="C6" s="5">
        <f>B6+E5</f>
        <v>4072.5132799999997</v>
      </c>
      <c r="D6" s="5">
        <f>C6 * INPUT!B$4</f>
        <v>32.580106239999999</v>
      </c>
      <c r="E6" s="5">
        <f>C6+D6</f>
        <v>4105.0933862399997</v>
      </c>
    </row>
    <row r="7" spans="1:5" x14ac:dyDescent="0.25">
      <c r="A7" s="4">
        <f t="shared" si="0"/>
        <v>6</v>
      </c>
      <c r="B7" s="5">
        <v>500</v>
      </c>
      <c r="C7" s="5">
        <f>B7+E6</f>
        <v>4605.0933862399997</v>
      </c>
      <c r="D7" s="5">
        <f>C7 * INPUT!B$4</f>
        <v>36.840747089920001</v>
      </c>
      <c r="E7" s="5">
        <f>C7+D7</f>
        <v>4641.9341333299199</v>
      </c>
    </row>
    <row r="8" spans="1:5" x14ac:dyDescent="0.25">
      <c r="A8" s="4">
        <f t="shared" si="0"/>
        <v>7</v>
      </c>
      <c r="B8" s="5">
        <v>500</v>
      </c>
      <c r="C8" s="5">
        <f>B8+E7</f>
        <v>5141.9341333299199</v>
      </c>
      <c r="D8" s="5">
        <f>C8 * INPUT!B$4</f>
        <v>41.135473066639356</v>
      </c>
      <c r="E8" s="5">
        <f>C8+D8</f>
        <v>5183.0696063965588</v>
      </c>
    </row>
    <row r="9" spans="1:5" x14ac:dyDescent="0.25">
      <c r="A9" s="4">
        <f t="shared" si="0"/>
        <v>8</v>
      </c>
      <c r="B9" s="5">
        <v>500</v>
      </c>
      <c r="C9" s="5">
        <f t="shared" ref="C9:C61" si="1">B9+E8</f>
        <v>5683.0696063965588</v>
      </c>
      <c r="D9" s="5">
        <f>C9 * INPUT!B$4</f>
        <v>45.464556851172475</v>
      </c>
      <c r="E9" s="5">
        <f t="shared" ref="E9:E61" si="2">C9+D9</f>
        <v>5728.5341632477312</v>
      </c>
    </row>
    <row r="10" spans="1:5" x14ac:dyDescent="0.25">
      <c r="A10" s="4">
        <f t="shared" si="0"/>
        <v>9</v>
      </c>
      <c r="B10" s="5">
        <v>500</v>
      </c>
      <c r="C10" s="5">
        <f t="shared" si="1"/>
        <v>6228.5341632477312</v>
      </c>
      <c r="D10" s="5">
        <f>C10 * INPUT!B$4</f>
        <v>49.828273305981853</v>
      </c>
      <c r="E10" s="5">
        <f t="shared" si="2"/>
        <v>6278.3624365537135</v>
      </c>
    </row>
    <row r="11" spans="1:5" x14ac:dyDescent="0.25">
      <c r="A11" s="4">
        <f t="shared" si="0"/>
        <v>10</v>
      </c>
      <c r="B11" s="5">
        <v>500</v>
      </c>
      <c r="C11" s="5">
        <f t="shared" si="1"/>
        <v>6778.3624365537135</v>
      </c>
      <c r="D11" s="5">
        <f>C11 * INPUT!B$4</f>
        <v>54.226899492429709</v>
      </c>
      <c r="E11" s="5">
        <f t="shared" si="2"/>
        <v>6832.5893360461432</v>
      </c>
    </row>
    <row r="12" spans="1:5" x14ac:dyDescent="0.25">
      <c r="A12" s="4">
        <f t="shared" si="0"/>
        <v>11</v>
      </c>
      <c r="B12" s="5">
        <v>500</v>
      </c>
      <c r="C12" s="5">
        <f t="shared" si="1"/>
        <v>7332.5893360461432</v>
      </c>
      <c r="D12" s="5">
        <f>C12 * INPUT!B$4</f>
        <v>58.660714688369147</v>
      </c>
      <c r="E12" s="5">
        <f t="shared" si="2"/>
        <v>7391.2500507345121</v>
      </c>
    </row>
    <row r="13" spans="1:5" x14ac:dyDescent="0.25">
      <c r="A13" s="4">
        <f t="shared" si="0"/>
        <v>12</v>
      </c>
      <c r="B13" s="5">
        <v>500</v>
      </c>
      <c r="C13" s="5">
        <f t="shared" si="1"/>
        <v>7891.2500507345121</v>
      </c>
      <c r="D13" s="5">
        <f>C13 * INPUT!B$4</f>
        <v>63.130000405876096</v>
      </c>
      <c r="E13" s="5">
        <f t="shared" si="2"/>
        <v>7954.3800511403879</v>
      </c>
    </row>
    <row r="14" spans="1:5" x14ac:dyDescent="0.25">
      <c r="A14" s="4">
        <f t="shared" si="0"/>
        <v>13</v>
      </c>
      <c r="B14" s="5">
        <v>500</v>
      </c>
      <c r="C14" s="5">
        <f t="shared" si="1"/>
        <v>8454.3800511403879</v>
      </c>
      <c r="D14" s="5">
        <f>C14 * INPUT!B$4</f>
        <v>67.635040409123107</v>
      </c>
      <c r="E14" s="5">
        <f t="shared" si="2"/>
        <v>8522.0150915495105</v>
      </c>
    </row>
    <row r="15" spans="1:5" x14ac:dyDescent="0.25">
      <c r="A15" s="4">
        <f t="shared" si="0"/>
        <v>14</v>
      </c>
      <c r="B15" s="5">
        <v>500</v>
      </c>
      <c r="C15" s="5">
        <f t="shared" si="1"/>
        <v>9022.0150915495105</v>
      </c>
      <c r="D15" s="5">
        <f>C15 * INPUT!B$4</f>
        <v>72.176120732396086</v>
      </c>
      <c r="E15" s="5">
        <f t="shared" si="2"/>
        <v>9094.1912122819067</v>
      </c>
    </row>
    <row r="16" spans="1:5" x14ac:dyDescent="0.25">
      <c r="A16" s="4">
        <f t="shared" si="0"/>
        <v>15</v>
      </c>
      <c r="B16" s="5">
        <v>500</v>
      </c>
      <c r="C16" s="5">
        <f t="shared" si="1"/>
        <v>9594.1912122819067</v>
      </c>
      <c r="D16" s="5">
        <f>C16 * INPUT!B$4</f>
        <v>76.75352969825525</v>
      </c>
      <c r="E16" s="5">
        <f t="shared" si="2"/>
        <v>9670.9447419801618</v>
      </c>
    </row>
    <row r="17" spans="1:5" x14ac:dyDescent="0.25">
      <c r="A17" s="4">
        <f t="shared" si="0"/>
        <v>16</v>
      </c>
      <c r="B17" s="5">
        <v>500</v>
      </c>
      <c r="C17" s="5">
        <f t="shared" si="1"/>
        <v>10170.944741980162</v>
      </c>
      <c r="D17" s="5">
        <f>C17 * INPUT!B$4</f>
        <v>81.36755793584129</v>
      </c>
      <c r="E17" s="5">
        <f t="shared" si="2"/>
        <v>10252.312299916002</v>
      </c>
    </row>
    <row r="18" spans="1:5" x14ac:dyDescent="0.25">
      <c r="A18" s="4">
        <f t="shared" si="0"/>
        <v>17</v>
      </c>
      <c r="B18" s="5">
        <v>500</v>
      </c>
      <c r="C18" s="5">
        <f t="shared" si="1"/>
        <v>10752.312299916002</v>
      </c>
      <c r="D18" s="5">
        <f>C18 * INPUT!B$4</f>
        <v>86.018498399328024</v>
      </c>
      <c r="E18" s="5">
        <f t="shared" si="2"/>
        <v>10838.33079831533</v>
      </c>
    </row>
    <row r="19" spans="1:5" x14ac:dyDescent="0.25">
      <c r="A19" s="4">
        <f t="shared" si="0"/>
        <v>18</v>
      </c>
      <c r="B19" s="5">
        <v>500</v>
      </c>
      <c r="C19" s="5">
        <f t="shared" si="1"/>
        <v>11338.33079831533</v>
      </c>
      <c r="D19" s="5">
        <f>C19 * INPUT!B$4</f>
        <v>90.706646386522635</v>
      </c>
      <c r="E19" s="5">
        <f t="shared" si="2"/>
        <v>11429.037444701853</v>
      </c>
    </row>
    <row r="20" spans="1:5" x14ac:dyDescent="0.25">
      <c r="A20" s="4">
        <f t="shared" si="0"/>
        <v>19</v>
      </c>
      <c r="B20" s="5">
        <v>500</v>
      </c>
      <c r="C20" s="5">
        <f t="shared" si="1"/>
        <v>11929.037444701853</v>
      </c>
      <c r="D20" s="5">
        <f>C20 * INPUT!B$4</f>
        <v>95.432299557614826</v>
      </c>
      <c r="E20" s="5">
        <f t="shared" si="2"/>
        <v>12024.469744259468</v>
      </c>
    </row>
    <row r="21" spans="1:5" x14ac:dyDescent="0.25">
      <c r="A21" s="4">
        <f t="shared" si="0"/>
        <v>20</v>
      </c>
      <c r="B21" s="5">
        <v>500</v>
      </c>
      <c r="C21" s="5">
        <f t="shared" si="1"/>
        <v>12524.469744259468</v>
      </c>
      <c r="D21" s="5">
        <f>C21 * INPUT!B$4</f>
        <v>100.19575795407575</v>
      </c>
      <c r="E21" s="5">
        <f t="shared" si="2"/>
        <v>12624.665502213544</v>
      </c>
    </row>
    <row r="22" spans="1:5" x14ac:dyDescent="0.25">
      <c r="A22" s="4">
        <f t="shared" si="0"/>
        <v>21</v>
      </c>
      <c r="B22" s="5">
        <v>500</v>
      </c>
      <c r="C22" s="5">
        <f t="shared" si="1"/>
        <v>13124.665502213544</v>
      </c>
      <c r="D22" s="5">
        <f>C22 * INPUT!B$4</f>
        <v>104.99732401770835</v>
      </c>
      <c r="E22" s="5">
        <f t="shared" si="2"/>
        <v>13229.662826231252</v>
      </c>
    </row>
    <row r="23" spans="1:5" x14ac:dyDescent="0.25">
      <c r="A23" s="4">
        <f t="shared" si="0"/>
        <v>22</v>
      </c>
      <c r="B23" s="5">
        <v>500</v>
      </c>
      <c r="C23" s="5">
        <f t="shared" si="1"/>
        <v>13729.662826231252</v>
      </c>
      <c r="D23" s="5">
        <f>C23 * INPUT!B$4</f>
        <v>109.83730260985001</v>
      </c>
      <c r="E23" s="5">
        <f t="shared" si="2"/>
        <v>13839.500128841102</v>
      </c>
    </row>
    <row r="24" spans="1:5" x14ac:dyDescent="0.25">
      <c r="A24" s="4">
        <f t="shared" si="0"/>
        <v>23</v>
      </c>
      <c r="B24" s="5">
        <v>500</v>
      </c>
      <c r="C24" s="5">
        <f t="shared" si="1"/>
        <v>14339.500128841102</v>
      </c>
      <c r="D24" s="5">
        <f>C24 * INPUT!B$4</f>
        <v>114.71600103072882</v>
      </c>
      <c r="E24" s="5">
        <f t="shared" si="2"/>
        <v>14454.216129871831</v>
      </c>
    </row>
    <row r="25" spans="1:5" x14ac:dyDescent="0.25">
      <c r="A25" s="4">
        <f t="shared" si="0"/>
        <v>24</v>
      </c>
      <c r="B25" s="5">
        <v>500</v>
      </c>
      <c r="C25" s="5">
        <f t="shared" si="1"/>
        <v>14954.216129871831</v>
      </c>
      <c r="D25" s="5">
        <f>C25 * INPUT!B$4</f>
        <v>119.63372903897465</v>
      </c>
      <c r="E25" s="5">
        <f t="shared" si="2"/>
        <v>15073.849858910806</v>
      </c>
    </row>
    <row r="26" spans="1:5" x14ac:dyDescent="0.25">
      <c r="A26" s="4">
        <f t="shared" si="0"/>
        <v>25</v>
      </c>
      <c r="B26" s="5">
        <v>500</v>
      </c>
      <c r="C26" s="5">
        <f t="shared" si="1"/>
        <v>15573.849858910806</v>
      </c>
      <c r="D26" s="5">
        <f>C26 * INPUT!B$4</f>
        <v>124.59079887128645</v>
      </c>
      <c r="E26" s="5">
        <f t="shared" si="2"/>
        <v>15698.440657782092</v>
      </c>
    </row>
    <row r="27" spans="1:5" x14ac:dyDescent="0.25">
      <c r="A27" s="4">
        <f t="shared" si="0"/>
        <v>26</v>
      </c>
      <c r="B27" s="5">
        <v>500</v>
      </c>
      <c r="C27" s="5">
        <f t="shared" si="1"/>
        <v>16198.440657782092</v>
      </c>
      <c r="D27" s="5">
        <f>C27 * INPUT!B$4</f>
        <v>129.58752526225675</v>
      </c>
      <c r="E27" s="5">
        <f t="shared" si="2"/>
        <v>16328.028183044349</v>
      </c>
    </row>
    <row r="28" spans="1:5" x14ac:dyDescent="0.25">
      <c r="A28" s="4">
        <f t="shared" si="0"/>
        <v>27</v>
      </c>
      <c r="B28" s="5">
        <v>500</v>
      </c>
      <c r="C28" s="5">
        <f t="shared" si="1"/>
        <v>16828.028183044349</v>
      </c>
      <c r="D28" s="5">
        <f>C28 * INPUT!B$4</f>
        <v>134.62422546435479</v>
      </c>
      <c r="E28" s="5">
        <f t="shared" si="2"/>
        <v>16962.652408508704</v>
      </c>
    </row>
    <row r="29" spans="1:5" x14ac:dyDescent="0.25">
      <c r="A29" s="4">
        <f t="shared" si="0"/>
        <v>28</v>
      </c>
      <c r="B29" s="5">
        <v>500</v>
      </c>
      <c r="C29" s="5">
        <f t="shared" si="1"/>
        <v>17462.652408508704</v>
      </c>
      <c r="D29" s="5">
        <f>C29 * INPUT!B$4</f>
        <v>139.70121926806962</v>
      </c>
      <c r="E29" s="5">
        <f t="shared" si="2"/>
        <v>17602.353627776774</v>
      </c>
    </row>
    <row r="30" spans="1:5" x14ac:dyDescent="0.25">
      <c r="A30" s="4">
        <f t="shared" si="0"/>
        <v>29</v>
      </c>
      <c r="B30" s="5">
        <v>500</v>
      </c>
      <c r="C30" s="5">
        <f t="shared" si="1"/>
        <v>18102.353627776774</v>
      </c>
      <c r="D30" s="5">
        <f>C30 * INPUT!B$4</f>
        <v>144.8188290222142</v>
      </c>
      <c r="E30" s="5">
        <f t="shared" si="2"/>
        <v>18247.172456798988</v>
      </c>
    </row>
    <row r="31" spans="1:5" x14ac:dyDescent="0.25">
      <c r="A31" s="4">
        <f t="shared" si="0"/>
        <v>30</v>
      </c>
      <c r="B31" s="5">
        <v>500</v>
      </c>
      <c r="C31" s="5">
        <f t="shared" si="1"/>
        <v>18747.172456798988</v>
      </c>
      <c r="D31" s="5">
        <f>C31 * INPUT!B$4</f>
        <v>149.97737965439191</v>
      </c>
      <c r="E31" s="5">
        <f t="shared" si="2"/>
        <v>18897.14983645338</v>
      </c>
    </row>
    <row r="32" spans="1:5" x14ac:dyDescent="0.25">
      <c r="A32" s="4">
        <f t="shared" si="0"/>
        <v>31</v>
      </c>
      <c r="B32" s="5">
        <v>500</v>
      </c>
      <c r="C32" s="5">
        <f t="shared" si="1"/>
        <v>19397.14983645338</v>
      </c>
      <c r="D32" s="5">
        <f>C32 * INPUT!B$4</f>
        <v>155.17719869162704</v>
      </c>
      <c r="E32" s="5">
        <f t="shared" si="2"/>
        <v>19552.327035145008</v>
      </c>
    </row>
    <row r="33" spans="1:5" x14ac:dyDescent="0.25">
      <c r="A33" s="4">
        <f t="shared" si="0"/>
        <v>32</v>
      </c>
      <c r="B33" s="5">
        <v>500</v>
      </c>
      <c r="C33" s="5">
        <f t="shared" si="1"/>
        <v>20052.327035145008</v>
      </c>
      <c r="D33" s="5">
        <f>C33 * INPUT!B$4</f>
        <v>160.41861628116007</v>
      </c>
      <c r="E33" s="5">
        <f t="shared" si="2"/>
        <v>20212.745651426168</v>
      </c>
    </row>
    <row r="34" spans="1:5" x14ac:dyDescent="0.25">
      <c r="A34" s="4">
        <f t="shared" si="0"/>
        <v>33</v>
      </c>
      <c r="B34" s="5">
        <v>500</v>
      </c>
      <c r="C34" s="5">
        <f t="shared" si="1"/>
        <v>20712.745651426168</v>
      </c>
      <c r="D34" s="5">
        <f>C34 * INPUT!B$4</f>
        <v>165.70196521140934</v>
      </c>
      <c r="E34" s="5">
        <f t="shared" si="2"/>
        <v>20878.447616637579</v>
      </c>
    </row>
    <row r="35" spans="1:5" x14ac:dyDescent="0.25">
      <c r="A35" s="4">
        <f t="shared" si="0"/>
        <v>34</v>
      </c>
      <c r="B35" s="5">
        <v>500</v>
      </c>
      <c r="C35" s="5">
        <f t="shared" si="1"/>
        <v>21378.447616637579</v>
      </c>
      <c r="D35" s="5">
        <f>C35 * INPUT!B$4</f>
        <v>171.02758093310064</v>
      </c>
      <c r="E35" s="5">
        <f t="shared" si="2"/>
        <v>21549.475197570679</v>
      </c>
    </row>
    <row r="36" spans="1:5" x14ac:dyDescent="0.25">
      <c r="A36" s="4">
        <f t="shared" si="0"/>
        <v>35</v>
      </c>
      <c r="B36" s="5">
        <v>500</v>
      </c>
      <c r="C36" s="5">
        <f t="shared" si="1"/>
        <v>22049.475197570679</v>
      </c>
      <c r="D36" s="5">
        <f>C36 * INPUT!B$4</f>
        <v>176.39580158056543</v>
      </c>
      <c r="E36" s="5">
        <f t="shared" si="2"/>
        <v>22225.870999151244</v>
      </c>
    </row>
    <row r="37" spans="1:5" x14ac:dyDescent="0.25">
      <c r="A37" s="4">
        <f t="shared" si="0"/>
        <v>36</v>
      </c>
      <c r="B37" s="5">
        <v>500</v>
      </c>
      <c r="C37" s="5">
        <f t="shared" si="1"/>
        <v>22725.870999151244</v>
      </c>
      <c r="D37" s="5">
        <f>C37 * INPUT!B$4</f>
        <v>181.80696799320995</v>
      </c>
      <c r="E37" s="5">
        <f t="shared" si="2"/>
        <v>22907.677967144453</v>
      </c>
    </row>
    <row r="38" spans="1:5" x14ac:dyDescent="0.25">
      <c r="A38" s="4">
        <f t="shared" si="0"/>
        <v>37</v>
      </c>
      <c r="B38" s="5">
        <v>500</v>
      </c>
      <c r="C38" s="5">
        <f t="shared" si="1"/>
        <v>23407.677967144453</v>
      </c>
      <c r="D38" s="5">
        <f>C38 * INPUT!B$4</f>
        <v>187.26142373715564</v>
      </c>
      <c r="E38" s="5">
        <f t="shared" si="2"/>
        <v>23594.939390881609</v>
      </c>
    </row>
    <row r="39" spans="1:5" x14ac:dyDescent="0.25">
      <c r="A39" s="4">
        <f t="shared" si="0"/>
        <v>38</v>
      </c>
      <c r="B39" s="5">
        <v>500</v>
      </c>
      <c r="C39" s="5">
        <f t="shared" si="1"/>
        <v>24094.939390881609</v>
      </c>
      <c r="D39" s="5">
        <f>C39 * INPUT!B$4</f>
        <v>192.75951512705288</v>
      </c>
      <c r="E39" s="5">
        <f t="shared" si="2"/>
        <v>24287.698906008663</v>
      </c>
    </row>
    <row r="40" spans="1:5" x14ac:dyDescent="0.25">
      <c r="A40" s="4">
        <f t="shared" si="0"/>
        <v>39</v>
      </c>
      <c r="B40" s="5">
        <v>500</v>
      </c>
      <c r="C40" s="5">
        <f t="shared" si="1"/>
        <v>24787.698906008663</v>
      </c>
      <c r="D40" s="5">
        <f>C40 * INPUT!B$4</f>
        <v>198.30159124806931</v>
      </c>
      <c r="E40" s="5">
        <f t="shared" si="2"/>
        <v>24986.000497256733</v>
      </c>
    </row>
    <row r="41" spans="1:5" x14ac:dyDescent="0.25">
      <c r="A41" s="4">
        <f t="shared" si="0"/>
        <v>40</v>
      </c>
      <c r="B41" s="5">
        <v>500</v>
      </c>
      <c r="C41" s="5">
        <f t="shared" si="1"/>
        <v>25486.000497256733</v>
      </c>
      <c r="D41" s="5">
        <f>C41 * INPUT!B$4</f>
        <v>203.88800397805386</v>
      </c>
      <c r="E41" s="5">
        <f t="shared" si="2"/>
        <v>25689.888501234786</v>
      </c>
    </row>
    <row r="42" spans="1:5" x14ac:dyDescent="0.25">
      <c r="A42" s="4">
        <f t="shared" si="0"/>
        <v>41</v>
      </c>
      <c r="B42" s="5">
        <v>500</v>
      </c>
      <c r="C42" s="5">
        <f t="shared" si="1"/>
        <v>26189.888501234786</v>
      </c>
      <c r="D42" s="5">
        <f>C42 * INPUT!B$4</f>
        <v>209.51910800987829</v>
      </c>
      <c r="E42" s="5">
        <f t="shared" si="2"/>
        <v>26399.407609244663</v>
      </c>
    </row>
    <row r="43" spans="1:5" x14ac:dyDescent="0.25">
      <c r="A43" s="4">
        <f t="shared" si="0"/>
        <v>42</v>
      </c>
      <c r="B43" s="5">
        <v>500</v>
      </c>
      <c r="C43" s="5">
        <f t="shared" si="1"/>
        <v>26899.407609244663</v>
      </c>
      <c r="D43" s="5">
        <f>C43 * INPUT!B$4</f>
        <v>215.1952608739573</v>
      </c>
      <c r="E43" s="5">
        <f t="shared" si="2"/>
        <v>27114.602870118619</v>
      </c>
    </row>
    <row r="44" spans="1:5" x14ac:dyDescent="0.25">
      <c r="A44" s="4">
        <f t="shared" si="0"/>
        <v>43</v>
      </c>
      <c r="B44" s="5">
        <v>500</v>
      </c>
      <c r="C44" s="5">
        <f t="shared" si="1"/>
        <v>27614.602870118619</v>
      </c>
      <c r="D44" s="5">
        <f>C44 * INPUT!B$4</f>
        <v>220.91682296094896</v>
      </c>
      <c r="E44" s="5">
        <f t="shared" si="2"/>
        <v>27835.519693079568</v>
      </c>
    </row>
    <row r="45" spans="1:5" x14ac:dyDescent="0.25">
      <c r="A45" s="4">
        <f t="shared" si="0"/>
        <v>44</v>
      </c>
      <c r="B45" s="5">
        <v>500</v>
      </c>
      <c r="C45" s="5">
        <f t="shared" si="1"/>
        <v>28335.519693079568</v>
      </c>
      <c r="D45" s="5">
        <f>C45 * INPUT!B$4</f>
        <v>226.68415754463655</v>
      </c>
      <c r="E45" s="5">
        <f t="shared" si="2"/>
        <v>28562.203850624206</v>
      </c>
    </row>
    <row r="46" spans="1:5" x14ac:dyDescent="0.25">
      <c r="A46" s="4">
        <f t="shared" si="0"/>
        <v>45</v>
      </c>
      <c r="B46" s="5">
        <v>500</v>
      </c>
      <c r="C46" s="5">
        <f t="shared" si="1"/>
        <v>29062.203850624206</v>
      </c>
      <c r="D46" s="5">
        <f>C46 * INPUT!B$4</f>
        <v>232.49763080499366</v>
      </c>
      <c r="E46" s="5">
        <f t="shared" si="2"/>
        <v>29294.701481429202</v>
      </c>
    </row>
    <row r="47" spans="1:5" x14ac:dyDescent="0.25">
      <c r="A47" s="4">
        <f t="shared" si="0"/>
        <v>46</v>
      </c>
      <c r="B47" s="5">
        <v>500</v>
      </c>
      <c r="C47" s="5">
        <f t="shared" si="1"/>
        <v>29794.701481429202</v>
      </c>
      <c r="D47" s="5">
        <f>C47 * INPUT!B$4</f>
        <v>238.3576118514336</v>
      </c>
      <c r="E47" s="5">
        <f t="shared" si="2"/>
        <v>30033.059093280634</v>
      </c>
    </row>
    <row r="48" spans="1:5" x14ac:dyDescent="0.25">
      <c r="A48" s="4">
        <f t="shared" si="0"/>
        <v>47</v>
      </c>
      <c r="B48" s="5">
        <v>500</v>
      </c>
      <c r="C48" s="5">
        <f t="shared" si="1"/>
        <v>30533.059093280634</v>
      </c>
      <c r="D48" s="5">
        <f>C48 * INPUT!B$4</f>
        <v>244.26447274624508</v>
      </c>
      <c r="E48" s="5">
        <f t="shared" si="2"/>
        <v>30777.32356602688</v>
      </c>
    </row>
    <row r="49" spans="1:5" x14ac:dyDescent="0.25">
      <c r="A49" s="4">
        <f t="shared" si="0"/>
        <v>48</v>
      </c>
      <c r="B49" s="5">
        <v>500</v>
      </c>
      <c r="C49" s="5">
        <f t="shared" si="1"/>
        <v>31277.32356602688</v>
      </c>
      <c r="D49" s="5">
        <f>C49 * INPUT!B$4</f>
        <v>250.21858852821504</v>
      </c>
      <c r="E49" s="5">
        <f t="shared" si="2"/>
        <v>31527.542154555096</v>
      </c>
    </row>
    <row r="50" spans="1:5" x14ac:dyDescent="0.25">
      <c r="A50" s="4">
        <f t="shared" si="0"/>
        <v>49</v>
      </c>
      <c r="B50" s="5">
        <v>500</v>
      </c>
      <c r="C50" s="5">
        <f t="shared" si="1"/>
        <v>32027.542154555096</v>
      </c>
      <c r="D50" s="5">
        <f>C50 * INPUT!B$4</f>
        <v>256.2203372364408</v>
      </c>
      <c r="E50" s="5">
        <f t="shared" si="2"/>
        <v>32283.762491791538</v>
      </c>
    </row>
    <row r="51" spans="1:5" x14ac:dyDescent="0.25">
      <c r="A51" s="4">
        <f t="shared" si="0"/>
        <v>50</v>
      </c>
      <c r="B51" s="5">
        <v>500</v>
      </c>
      <c r="C51" s="5">
        <f t="shared" si="1"/>
        <v>32783.762491791538</v>
      </c>
      <c r="D51" s="5">
        <f>C51 * INPUT!B$4</f>
        <v>262.27009993433234</v>
      </c>
      <c r="E51" s="5">
        <f t="shared" si="2"/>
        <v>33046.032591725867</v>
      </c>
    </row>
    <row r="52" spans="1:5" x14ac:dyDescent="0.25">
      <c r="A52" s="4">
        <f t="shared" si="0"/>
        <v>51</v>
      </c>
      <c r="B52" s="5">
        <v>500</v>
      </c>
      <c r="C52" s="5">
        <f t="shared" si="1"/>
        <v>33546.032591725867</v>
      </c>
      <c r="D52" s="5">
        <f>C52 * INPUT!B$4</f>
        <v>268.36826073380695</v>
      </c>
      <c r="E52" s="5">
        <f t="shared" si="2"/>
        <v>33814.400852459672</v>
      </c>
    </row>
    <row r="53" spans="1:5" x14ac:dyDescent="0.25">
      <c r="A53" s="4">
        <f t="shared" si="0"/>
        <v>52</v>
      </c>
      <c r="B53" s="5">
        <v>500</v>
      </c>
      <c r="C53" s="5">
        <f t="shared" si="1"/>
        <v>34314.400852459672</v>
      </c>
      <c r="D53" s="5">
        <f>C53 * INPUT!B$4</f>
        <v>274.51520681967736</v>
      </c>
      <c r="E53" s="5">
        <f t="shared" si="2"/>
        <v>34588.916059279349</v>
      </c>
    </row>
    <row r="54" spans="1:5" x14ac:dyDescent="0.25">
      <c r="A54" s="4">
        <f t="shared" si="0"/>
        <v>53</v>
      </c>
      <c r="B54" s="5">
        <v>500</v>
      </c>
      <c r="C54" s="5">
        <f t="shared" si="1"/>
        <v>35088.916059279349</v>
      </c>
      <c r="D54" s="5">
        <f>C54 * INPUT!B$4</f>
        <v>280.71132847423479</v>
      </c>
      <c r="E54" s="5">
        <f t="shared" si="2"/>
        <v>35369.627387753586</v>
      </c>
    </row>
    <row r="55" spans="1:5" x14ac:dyDescent="0.25">
      <c r="A55" s="4">
        <f t="shared" si="0"/>
        <v>54</v>
      </c>
      <c r="B55" s="5">
        <v>500</v>
      </c>
      <c r="C55" s="5">
        <f t="shared" si="1"/>
        <v>35869.627387753586</v>
      </c>
      <c r="D55" s="5">
        <f>C55 * INPUT!B$4</f>
        <v>286.95701910202871</v>
      </c>
      <c r="E55" s="5">
        <f t="shared" si="2"/>
        <v>36156.584406855618</v>
      </c>
    </row>
    <row r="56" spans="1:5" x14ac:dyDescent="0.25">
      <c r="A56" s="4">
        <f t="shared" si="0"/>
        <v>55</v>
      </c>
      <c r="B56" s="5">
        <v>500</v>
      </c>
      <c r="C56" s="5">
        <f t="shared" si="1"/>
        <v>36656.584406855618</v>
      </c>
      <c r="D56" s="5">
        <f>C56 * INPUT!B$4</f>
        <v>293.25267525484497</v>
      </c>
      <c r="E56" s="5">
        <f t="shared" si="2"/>
        <v>36949.837082110462</v>
      </c>
    </row>
    <row r="57" spans="1:5" x14ac:dyDescent="0.25">
      <c r="A57" s="4">
        <f t="shared" si="0"/>
        <v>56</v>
      </c>
      <c r="B57" s="5">
        <v>500</v>
      </c>
      <c r="C57" s="5">
        <f t="shared" si="1"/>
        <v>37449.837082110462</v>
      </c>
      <c r="D57" s="5">
        <f>C57 * INPUT!B$4</f>
        <v>299.5986966568837</v>
      </c>
      <c r="E57" s="5">
        <f t="shared" si="2"/>
        <v>37749.435778767343</v>
      </c>
    </row>
    <row r="58" spans="1:5" x14ac:dyDescent="0.25">
      <c r="A58" s="4">
        <f t="shared" si="0"/>
        <v>57</v>
      </c>
      <c r="B58" s="5">
        <v>500</v>
      </c>
      <c r="C58" s="5">
        <f t="shared" si="1"/>
        <v>38249.435778767343</v>
      </c>
      <c r="D58" s="5">
        <f>C58 * INPUT!B$4</f>
        <v>305.99548623013874</v>
      </c>
      <c r="E58" s="5">
        <f t="shared" si="2"/>
        <v>38555.431264997482</v>
      </c>
    </row>
    <row r="59" spans="1:5" x14ac:dyDescent="0.25">
      <c r="A59" s="4">
        <f t="shared" si="0"/>
        <v>58</v>
      </c>
      <c r="B59" s="5">
        <v>500</v>
      </c>
      <c r="C59" s="5">
        <f t="shared" si="1"/>
        <v>39055.431264997482</v>
      </c>
      <c r="D59" s="5">
        <f>C59 * INPUT!B$4</f>
        <v>312.44345011997984</v>
      </c>
      <c r="E59" s="5">
        <f t="shared" si="2"/>
        <v>39367.874715117461</v>
      </c>
    </row>
    <row r="60" spans="1:5" x14ac:dyDescent="0.25">
      <c r="A60" s="4">
        <f t="shared" si="0"/>
        <v>59</v>
      </c>
      <c r="B60" s="5">
        <v>500</v>
      </c>
      <c r="C60" s="5">
        <f t="shared" si="1"/>
        <v>39867.874715117461</v>
      </c>
      <c r="D60" s="5">
        <f>C60 * INPUT!B$4</f>
        <v>318.94299772093967</v>
      </c>
      <c r="E60" s="5">
        <f t="shared" si="2"/>
        <v>40186.817712838398</v>
      </c>
    </row>
    <row r="61" spans="1:5" x14ac:dyDescent="0.25">
      <c r="A61" s="4">
        <f t="shared" si="0"/>
        <v>60</v>
      </c>
      <c r="B61" s="5">
        <v>500</v>
      </c>
      <c r="C61" s="5">
        <f t="shared" si="1"/>
        <v>40686.817712838398</v>
      </c>
      <c r="D61" s="5">
        <f>C61 * INPUT!B$4</f>
        <v>325.49454170270718</v>
      </c>
      <c r="E61" s="5">
        <f t="shared" si="2"/>
        <v>41012.312254541102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INPUT</vt:lpstr>
      <vt:lpstr>SIMULAÇÃO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Souza Santos</dc:creator>
  <cp:lastModifiedBy>Alex Souza Santos</cp:lastModifiedBy>
  <dcterms:created xsi:type="dcterms:W3CDTF">2026-01-16T16:28:48Z</dcterms:created>
  <dcterms:modified xsi:type="dcterms:W3CDTF">2026-01-16T17:22:52Z</dcterms:modified>
</cp:coreProperties>
</file>